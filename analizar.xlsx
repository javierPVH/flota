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" sheetId="1" r:id="rId5"/>
    <sheet state="visible" name="Procesos" sheetId="2" r:id="rId6"/>
    <sheet state="visible" name="Maestr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tc={b8280c28-a207-4532-a04f-ab8e0cc86c41}</author>
  </authors>
  <commentList>
    <comment authorId="0" xr:uid="{b8280c28-a207-4532-a04f-ab8e0cc86c41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para que sea estándar
</t>
      </text>
    </comment>
  </commentList>
</comments>
</file>

<file path=xl/sharedStrings.xml><?xml version="1.0" encoding="utf-8"?>
<sst xmlns="http://schemas.openxmlformats.org/spreadsheetml/2006/main" count="279" uniqueCount="161">
  <si>
    <t>Nombre campo</t>
  </si>
  <si>
    <t>Solicitud vehículo</t>
  </si>
  <si>
    <t>ITV</t>
  </si>
  <si>
    <t>Caducidad seguro</t>
  </si>
  <si>
    <t>Devolución vehículo</t>
  </si>
  <si>
    <t>Significado</t>
  </si>
  <si>
    <t>Cambio vehículo</t>
  </si>
  <si>
    <t>Mantenimiento</t>
  </si>
  <si>
    <t>Cambio neumáticos</t>
  </si>
  <si>
    <t>Ejemplo</t>
  </si>
  <si>
    <t>Avería</t>
  </si>
  <si>
    <t>Opciones</t>
  </si>
  <si>
    <t>Comunicación accidente</t>
  </si>
  <si>
    <t>Comentarios</t>
  </si>
  <si>
    <t>Facturación</t>
  </si>
  <si>
    <t>Estado</t>
  </si>
  <si>
    <t>Activo, no activo, mantenimiento</t>
  </si>
  <si>
    <t>Campo control</t>
  </si>
  <si>
    <t>x</t>
  </si>
  <si>
    <t>Matrícula</t>
  </si>
  <si>
    <t>Identificación vehículo</t>
  </si>
  <si>
    <t>3554LSD</t>
  </si>
  <si>
    <t>Necesidad HSE</t>
  </si>
  <si>
    <t>Debería ser estándar</t>
  </si>
  <si>
    <t>Empresa</t>
  </si>
  <si>
    <t>Unidad de negocio</t>
  </si>
  <si>
    <t>Gransolar Desarrollo de Proyectos S.L</t>
  </si>
  <si>
    <t>Desplegable</t>
  </si>
  <si>
    <t>Proyecto</t>
  </si>
  <si>
    <t>Para poder filtrar</t>
  </si>
  <si>
    <t>Sí</t>
  </si>
  <si>
    <t>Sí, No</t>
  </si>
  <si>
    <t>Proyecto obra/sede</t>
  </si>
  <si>
    <t>Si está asociado a proyecto o es de oficina</t>
  </si>
  <si>
    <t>Oficina Almería</t>
  </si>
  <si>
    <t>País</t>
  </si>
  <si>
    <t>España</t>
  </si>
  <si>
    <t>Marca vehículo</t>
  </si>
  <si>
    <t>BMW</t>
  </si>
  <si>
    <t>Modelo vehículo</t>
  </si>
  <si>
    <t>X3</t>
  </si>
  <si>
    <t>Combustible</t>
  </si>
  <si>
    <t>Híbrido</t>
  </si>
  <si>
    <t>[Pestaña Maestro]</t>
  </si>
  <si>
    <t>Año fabricación</t>
  </si>
  <si>
    <t>Fecha inicio</t>
  </si>
  <si>
    <t>Fecha</t>
  </si>
  <si>
    <t>Fecha fin prevista</t>
  </si>
  <si>
    <t>Fecha fin real</t>
  </si>
  <si>
    <t>Uso del vehículo</t>
  </si>
  <si>
    <t>Pasajeros</t>
  </si>
  <si>
    <t>Tipo de vehículo</t>
  </si>
  <si>
    <t>Turismo</t>
  </si>
  <si>
    <t>Segmento mercado</t>
  </si>
  <si>
    <t>Mediano superior</t>
  </si>
  <si>
    <t>Tamaño vehículo</t>
  </si>
  <si>
    <t>Mediano</t>
  </si>
  <si>
    <t>Propiedad vehículo</t>
  </si>
  <si>
    <t>Renting</t>
  </si>
  <si>
    <t>Kilometraje inicial</t>
  </si>
  <si>
    <t>Kilometraje mensual</t>
  </si>
  <si>
    <t>Kilometraje que se incluye mes a mes</t>
  </si>
  <si>
    <t>Kilometraje devolución</t>
  </si>
  <si>
    <t>Tarjeta combustible</t>
  </si>
  <si>
    <t>Consumo mensual (litros)</t>
  </si>
  <si>
    <t>Consumo calculado en base a tarjeta combustible</t>
  </si>
  <si>
    <t>E040</t>
  </si>
  <si>
    <t>Archivo Flota Renting BBVA</t>
  </si>
  <si>
    <t>Nombre conductor</t>
  </si>
  <si>
    <t>Conexión con SSFF</t>
  </si>
  <si>
    <t>Email conductor</t>
  </si>
  <si>
    <t>BBVA</t>
  </si>
  <si>
    <t>Versión</t>
  </si>
  <si>
    <t xml:space="preserve">250e Shooting Brake </t>
  </si>
  <si>
    <t>Texto</t>
  </si>
  <si>
    <t>Oferta/Contrato</t>
  </si>
  <si>
    <t>Plazo (meses)</t>
  </si>
  <si>
    <t>Kilometraje contratado</t>
  </si>
  <si>
    <t>Cliente</t>
  </si>
  <si>
    <t>Gransolar Holdings</t>
  </si>
  <si>
    <t>CIF</t>
  </si>
  <si>
    <t>B87821880</t>
  </si>
  <si>
    <t>Cuota mensual</t>
  </si>
  <si>
    <t>Cuota anual</t>
  </si>
  <si>
    <t>Factura</t>
  </si>
  <si>
    <t>GRS SSCC</t>
  </si>
  <si>
    <t>Fecha vencimiento seguro</t>
  </si>
  <si>
    <t>Archivo Flota Viva Gransolar 2026</t>
  </si>
  <si>
    <t>Fecha próxima ITV</t>
  </si>
  <si>
    <t>Fecha lectura</t>
  </si>
  <si>
    <t>Para control de kilometraje</t>
  </si>
  <si>
    <t>Fecha factura</t>
  </si>
  <si>
    <t>Para control de facturaciones</t>
  </si>
  <si>
    <t>Fecha evento</t>
  </si>
  <si>
    <t>Evento</t>
  </si>
  <si>
    <t>PDF</t>
  </si>
  <si>
    <t>Próxima ITV</t>
  </si>
  <si>
    <t>Tipo de combustible</t>
  </si>
  <si>
    <t>Segmento de mercado</t>
  </si>
  <si>
    <t>CNG</t>
  </si>
  <si>
    <t>Mini</t>
  </si>
  <si>
    <t>BBVA- ALD</t>
  </si>
  <si>
    <t>Pequeño</t>
  </si>
  <si>
    <t>Propio</t>
  </si>
  <si>
    <t>Gasolina</t>
  </si>
  <si>
    <t>Supermini</t>
  </si>
  <si>
    <t>ALPHABET</t>
  </si>
  <si>
    <t>Furgoneta</t>
  </si>
  <si>
    <t>Mercancía</t>
  </si>
  <si>
    <t>Gasolina (E5)</t>
  </si>
  <si>
    <t>Mediano inferior</t>
  </si>
  <si>
    <t>Volkswagen F</t>
  </si>
  <si>
    <t>Cambio conductor</t>
  </si>
  <si>
    <t>Camión</t>
  </si>
  <si>
    <t>Grande</t>
  </si>
  <si>
    <t>Gasolina (E10)</t>
  </si>
  <si>
    <t>Alta</t>
  </si>
  <si>
    <t>Motocicleta</t>
  </si>
  <si>
    <t>Gasolina (E85)</t>
  </si>
  <si>
    <t>Ejecutivo</t>
  </si>
  <si>
    <t>Baja</t>
  </si>
  <si>
    <t>Gasolina (E100)</t>
  </si>
  <si>
    <t>Lujo</t>
  </si>
  <si>
    <t>Gasóleo</t>
  </si>
  <si>
    <t>Deportivo</t>
  </si>
  <si>
    <t>Activación</t>
  </si>
  <si>
    <t>Diésel (B7)</t>
  </si>
  <si>
    <t>4x4 dual</t>
  </si>
  <si>
    <t>Inmovilización</t>
  </si>
  <si>
    <t>Diésel (B10)</t>
  </si>
  <si>
    <t>MPV</t>
  </si>
  <si>
    <t>Reactivación</t>
  </si>
  <si>
    <t>Diésel (B20)</t>
  </si>
  <si>
    <t>Renovación seguro</t>
  </si>
  <si>
    <t>Diésel (B30)</t>
  </si>
  <si>
    <t>Multa</t>
  </si>
  <si>
    <t>B100</t>
  </si>
  <si>
    <t>Cambio ubicación</t>
  </si>
  <si>
    <t>LPG</t>
  </si>
  <si>
    <t>Cambio proyecto</t>
  </si>
  <si>
    <t>Gasóleo B</t>
  </si>
  <si>
    <t>Fuelóleo</t>
  </si>
  <si>
    <t>Lectura kilometraje</t>
  </si>
  <si>
    <t>Queroseno</t>
  </si>
  <si>
    <t>Cambio contrato</t>
  </si>
  <si>
    <t>Gasolina de aviación</t>
  </si>
  <si>
    <t>Cambio cuota</t>
  </si>
  <si>
    <t>Gas natural licuado</t>
  </si>
  <si>
    <t>Cambio Ceco</t>
  </si>
  <si>
    <t>Adblue</t>
  </si>
  <si>
    <t>Lubricante</t>
  </si>
  <si>
    <t>Biometanol</t>
  </si>
  <si>
    <t>Gasóleo Marino</t>
  </si>
  <si>
    <t>Biogás</t>
  </si>
  <si>
    <t>Nafta</t>
  </si>
  <si>
    <t>Biopropano</t>
  </si>
  <si>
    <t>Vehículo Eléctrico de Batería</t>
  </si>
  <si>
    <t>Queroseno de Aviación Renovable</t>
  </si>
  <si>
    <t>Biometano</t>
  </si>
  <si>
    <t>Vehículo Híbrido Enchufable</t>
  </si>
  <si>
    <t>Queroseno de Aviación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</si>
</sst>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4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Mae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estro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ura Martin Torrijos" id="{746093da-17b2-4cb6-8ae1-756f33e3ce9e}" providerId="google-sheets"/>
</x18tc:personList>
</file>

<file path=xl/tables/table1.xml><?xml version="1.0" encoding="utf-8"?>
<table xmlns="http://schemas.openxmlformats.org/spreadsheetml/2006/main" ref="A1:A31" displayName="Tabla_1" name="Tabla_1" id="1">
  <tableColumns count="1">
    <tableColumn name="Tipo de combustible" id="1"/>
  </tableColumns>
  <tableStyleInfo name="Maestro-style" showColumnStripes="0" showFirstColumn="1" showLastColumn="1" showRowStripes="1"/>
</table>
</file>

<file path=xl/tables/table2.xml><?xml version="1.0" encoding="utf-8"?>
<table xmlns="http://schemas.openxmlformats.org/spreadsheetml/2006/main" ref="C1:C10" displayName="Tabla_2" name="Tabla_2" id="2">
  <tableColumns count="1">
    <tableColumn name="Segmento de mercado" id="1"/>
  </tableColumns>
  <tableStyleInfo name="Maestro-style 2" showColumnStripes="0" showFirstColumn="1" showLastColumn="1" showRowStripes="1"/>
</table>
</file>

<file path=xl/tables/table3.xml><?xml version="1.0" encoding="utf-8"?>
<table xmlns="http://schemas.openxmlformats.org/spreadsheetml/2006/main" ref="E1:E4" displayName="Tabla_3" name="Tabla_3" id="3">
  <tableColumns count="1">
    <tableColumn name="Renting" id="1"/>
  </tableColumns>
  <tableStyleInfo name="Maestro-style 3" showColumnStripes="0" showFirstColumn="1" showLastColumn="1" showRowStripes="1"/>
</table>
</file>

<file path=xl/tables/table4.xml><?xml version="1.0" encoding="utf-8"?>
<table xmlns="http://schemas.openxmlformats.org/spreadsheetml/2006/main" ref="G1:G19" displayName="Tabla_4" name="Tabla_4" id="4">
  <tableColumns count="1">
    <tableColumn name="Evento" id="1"/>
  </tableColumns>
  <tableStyleInfo name="Maestro-style 4" showColumnStripes="0" showFirstColumn="1" showLastColumn="1" showRowStripes="1"/>
</table>
</file>

<file path=xl/tables/table5.xml><?xml version="1.0" encoding="utf-8"?>
<table xmlns="http://schemas.openxmlformats.org/spreadsheetml/2006/main" ref="I1:I5" displayName="Tabla_5" name="Tabla_5" id="5">
  <tableColumns count="1">
    <tableColumn name="Tipo de vehículo" id="1"/>
  </tableColumns>
  <tableStyleInfo name="Maestro-style 5" showColumnStripes="0" showFirstColumn="1" showLastColumn="1" showRowStripes="1"/>
</table>
</file>

<file path=xl/tables/table6.xml><?xml version="1.0" encoding="utf-8"?>
<table xmlns="http://schemas.openxmlformats.org/spreadsheetml/2006/main" ref="K1:K3" displayName="Tabla_6" name="Tabla_6" id="6">
  <tableColumns count="1">
    <tableColumn name="Uso del vehículo" id="1"/>
  </tableColumns>
  <tableStyleInfo name="Maestro-style 6" showColumnStripes="0" showFirstColumn="1" showLastColumn="1" showRowStripes="1"/>
</table>
</file>

<file path=xl/tables/table7.xml><?xml version="1.0" encoding="utf-8"?>
<table xmlns="http://schemas.openxmlformats.org/spreadsheetml/2006/main" ref="M1:M4" displayName="Tabla_7" name="Tabla_7" id="7">
  <tableColumns count="1">
    <tableColumn name="Tamaño vehículo" id="1"/>
  </tableColumns>
  <tableStyleInfo name="Maestro-style 7" showColumnStripes="0" showFirstColumn="1" showLastColumn="1" showRowStripes="1"/>
</table>
</file>

<file path=xl/tables/table8.xml><?xml version="1.0" encoding="utf-8"?>
<table xmlns="http://schemas.openxmlformats.org/spreadsheetml/2006/main" ref="O1:O3" displayName="Tabla_8" name="Tabla_8" id="8">
  <tableColumns count="1">
    <tableColumn name="Propiedad vehículo" id="1"/>
  </tableColumns>
  <tableStyleInfo name="Maestro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6-18T07:22:51.00" personId="{746093da-17b2-4cb6-8ae1-756f33e3ce9e}" id="{b8280c28-a207-4532-a04f-ab8e0cc86c41}" done="0">
    <x18tc:text xml:space="preserve">Revisar para que sea estándar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  <col customWidth="1" min="2" max="2" width="37.88"/>
    <col customWidth="1" min="3" max="3" width="21.13"/>
    <col customWidth="1" min="4" max="4" width="25.0"/>
    <col customWidth="1" min="5" max="5" width="26.38"/>
    <col customWidth="1" min="6" max="6" width="19.13"/>
  </cols>
  <sheetData>
    <row r="1">
      <c r="A1" s="2" t="s">
        <v>0</v>
      </c>
      <c r="B1" s="2" t="s">
        <v>5</v>
      </c>
      <c r="C1" s="2" t="s">
        <v>9</v>
      </c>
      <c r="D1" s="2" t="s">
        <v>11</v>
      </c>
      <c r="E1" s="2" t="s">
        <v>13</v>
      </c>
    </row>
    <row r="2">
      <c r="A2" s="1" t="s">
        <v>15</v>
      </c>
      <c r="B2" s="1"/>
      <c r="C2" s="3"/>
      <c r="D2" s="1" t="s">
        <v>16</v>
      </c>
      <c r="E2" s="1" t="s">
        <v>17</v>
      </c>
      <c r="F2" s="4"/>
      <c r="G2" s="4" t="s">
        <v>18</v>
      </c>
    </row>
    <row r="3">
      <c r="A3" s="1" t="s">
        <v>19</v>
      </c>
      <c r="B3" s="1" t="s">
        <v>20</v>
      </c>
      <c r="C3" s="3" t="s">
        <v>21</v>
      </c>
      <c r="D3" s="5"/>
      <c r="E3" s="1" t="s">
        <v>22</v>
      </c>
      <c r="F3" s="4" t="s">
        <v>23</v>
      </c>
      <c r="G3" s="4" t="s">
        <v>18</v>
      </c>
    </row>
    <row r="4">
      <c r="A4" s="1" t="s">
        <v>24</v>
      </c>
      <c r="B4" s="1" t="s">
        <v>25</v>
      </c>
      <c r="C4" s="3" t="s">
        <v>26</v>
      </c>
      <c r="D4" s="5"/>
      <c r="E4" s="1" t="s">
        <v>22</v>
      </c>
      <c r="F4" s="4" t="s">
        <v>27</v>
      </c>
      <c r="G4" s="4" t="s">
        <v>18</v>
      </c>
    </row>
    <row r="5">
      <c r="A5" s="1" t="s">
        <v>28</v>
      </c>
      <c r="B5" s="1" t="s">
        <v>29</v>
      </c>
      <c r="C5" s="6" t="s">
        <v>30</v>
      </c>
      <c r="D5" s="1" t="s">
        <v>31</v>
      </c>
      <c r="E5" s="1" t="s">
        <v>17</v>
      </c>
      <c r="G5" s="4" t="s">
        <v>18</v>
      </c>
    </row>
    <row r="6">
      <c r="A6" s="7" t="s">
        <v>32</v>
      </c>
      <c r="B6" s="1" t="s">
        <v>33</v>
      </c>
      <c r="C6" s="3" t="s">
        <v>34</v>
      </c>
      <c r="D6" s="5"/>
      <c r="E6" s="1" t="s">
        <v>22</v>
      </c>
      <c r="G6" s="4" t="s">
        <v>18</v>
      </c>
    </row>
    <row r="7">
      <c r="A7" s="1" t="s">
        <v>35</v>
      </c>
      <c r="B7" s="5"/>
      <c r="C7" s="1" t="s">
        <v>36</v>
      </c>
      <c r="D7" s="5"/>
      <c r="E7" s="1" t="s">
        <v>22</v>
      </c>
      <c r="F7" s="4" t="s">
        <v>27</v>
      </c>
      <c r="G7" s="4" t="s">
        <v>18</v>
      </c>
    </row>
    <row r="8">
      <c r="A8" s="1" t="s">
        <v>37</v>
      </c>
      <c r="B8" s="5"/>
      <c r="C8" s="1" t="s">
        <v>38</v>
      </c>
      <c r="D8" s="5"/>
      <c r="E8" s="1" t="s">
        <v>22</v>
      </c>
      <c r="G8" s="4" t="s">
        <v>18</v>
      </c>
    </row>
    <row r="9">
      <c r="A9" s="1" t="s">
        <v>39</v>
      </c>
      <c r="B9" s="5"/>
      <c r="C9" s="1" t="s">
        <v>40</v>
      </c>
      <c r="D9" s="5"/>
      <c r="E9" s="1" t="s">
        <v>22</v>
      </c>
      <c r="G9" s="4" t="s">
        <v>18</v>
      </c>
    </row>
    <row r="10">
      <c r="A10" s="1" t="s">
        <v>41</v>
      </c>
      <c r="B10" s="5"/>
      <c r="C10" s="1" t="s">
        <v>42</v>
      </c>
      <c r="D10" s="1" t="s">
        <v>43</v>
      </c>
      <c r="E10" s="1" t="s">
        <v>22</v>
      </c>
      <c r="F10" s="4" t="s">
        <v>27</v>
      </c>
      <c r="G10" s="4" t="s">
        <v>18</v>
      </c>
    </row>
    <row r="11">
      <c r="A11" s="1" t="s">
        <v>44</v>
      </c>
      <c r="B11" s="5"/>
      <c r="C11" s="1">
        <v>2010.0</v>
      </c>
      <c r="D11" s="5"/>
      <c r="E11" s="1" t="s">
        <v>22</v>
      </c>
      <c r="F11" s="4" t="s">
        <v>27</v>
      </c>
      <c r="G11" s="4" t="s">
        <v>18</v>
      </c>
    </row>
    <row r="12">
      <c r="A12" s="1" t="s">
        <v>45</v>
      </c>
      <c r="B12" s="5"/>
      <c r="C12" s="8">
        <v>45689.0</v>
      </c>
      <c r="D12" s="5"/>
      <c r="E12" s="1" t="s">
        <v>22</v>
      </c>
      <c r="F12" s="4" t="s">
        <v>46</v>
      </c>
      <c r="G12" s="4" t="s">
        <v>18</v>
      </c>
    </row>
    <row r="13">
      <c r="A13" s="1" t="s">
        <v>47</v>
      </c>
      <c r="B13" s="5"/>
      <c r="C13" s="9">
        <v>46752.0</v>
      </c>
      <c r="D13" s="5"/>
      <c r="E13" s="1" t="s">
        <v>22</v>
      </c>
      <c r="F13" s="4" t="s">
        <v>46</v>
      </c>
      <c r="G13" s="4" t="s">
        <v>18</v>
      </c>
    </row>
    <row r="14">
      <c r="A14" s="1" t="s">
        <v>48</v>
      </c>
      <c r="B14" s="5"/>
      <c r="C14" s="9">
        <v>46022.0</v>
      </c>
      <c r="D14" s="5"/>
      <c r="E14" s="1" t="s">
        <v>22</v>
      </c>
      <c r="F14" s="4" t="s">
        <v>46</v>
      </c>
      <c r="G14" s="4" t="s">
        <v>18</v>
      </c>
    </row>
    <row r="15">
      <c r="A15" s="1" t="s">
        <v>49</v>
      </c>
      <c r="B15" s="5"/>
      <c r="C15" s="1" t="s">
        <v>50</v>
      </c>
      <c r="D15" s="1" t="s">
        <v>43</v>
      </c>
      <c r="E15" s="1" t="s">
        <v>22</v>
      </c>
      <c r="F15" s="4" t="s">
        <v>27</v>
      </c>
      <c r="G15" s="4" t="s">
        <v>18</v>
      </c>
    </row>
    <row r="16">
      <c r="A16" s="1" t="s">
        <v>51</v>
      </c>
      <c r="B16" s="5"/>
      <c r="C16" s="1" t="s">
        <v>52</v>
      </c>
      <c r="D16" s="1" t="s">
        <v>43</v>
      </c>
      <c r="E16" s="1" t="s">
        <v>22</v>
      </c>
      <c r="F16" s="4" t="s">
        <v>27</v>
      </c>
      <c r="G16" s="4" t="s">
        <v>18</v>
      </c>
    </row>
    <row r="17">
      <c r="A17" s="1" t="s">
        <v>53</v>
      </c>
      <c r="B17" s="5"/>
      <c r="C17" s="1" t="s">
        <v>54</v>
      </c>
      <c r="D17" s="1" t="s">
        <v>43</v>
      </c>
      <c r="E17" s="1" t="s">
        <v>22</v>
      </c>
      <c r="F17" s="4" t="s">
        <v>27</v>
      </c>
      <c r="G17" s="4" t="s">
        <v>18</v>
      </c>
    </row>
    <row r="18">
      <c r="A18" s="1" t="s">
        <v>55</v>
      </c>
      <c r="B18" s="5"/>
      <c r="C18" s="1" t="s">
        <v>56</v>
      </c>
      <c r="D18" s="1" t="s">
        <v>43</v>
      </c>
      <c r="E18" s="1" t="s">
        <v>22</v>
      </c>
      <c r="F18" s="4" t="s">
        <v>27</v>
      </c>
      <c r="G18" s="4" t="s">
        <v>18</v>
      </c>
    </row>
    <row r="19">
      <c r="A19" s="1" t="s">
        <v>57</v>
      </c>
      <c r="B19" s="5"/>
      <c r="C19" s="1" t="s">
        <v>58</v>
      </c>
      <c r="D19" s="1" t="s">
        <v>43</v>
      </c>
      <c r="E19" s="1" t="s">
        <v>22</v>
      </c>
      <c r="F19" s="4" t="s">
        <v>27</v>
      </c>
      <c r="G19" s="4" t="s">
        <v>18</v>
      </c>
    </row>
    <row r="20">
      <c r="A20" s="1" t="s">
        <v>59</v>
      </c>
      <c r="B20" s="5"/>
      <c r="C20" s="1">
        <v>23000.0</v>
      </c>
      <c r="D20" s="5"/>
      <c r="E20" s="1" t="s">
        <v>22</v>
      </c>
      <c r="G20" s="4" t="s">
        <v>18</v>
      </c>
    </row>
    <row r="21">
      <c r="A21" s="7" t="s">
        <v>60</v>
      </c>
      <c r="B21" s="1" t="s">
        <v>61</v>
      </c>
      <c r="C21" s="1">
        <v>24000.0</v>
      </c>
      <c r="D21" s="5"/>
      <c r="E21" s="1" t="s">
        <v>22</v>
      </c>
      <c r="G21" s="4" t="s">
        <v>18</v>
      </c>
    </row>
    <row r="22">
      <c r="A22" s="1" t="s">
        <v>62</v>
      </c>
      <c r="B22" s="5"/>
      <c r="C22" s="1">
        <v>25516.0</v>
      </c>
      <c r="D22" s="5"/>
      <c r="E22" s="1" t="s">
        <v>22</v>
      </c>
      <c r="G22" s="4" t="s">
        <v>18</v>
      </c>
    </row>
    <row r="23">
      <c r="A23" s="1" t="s">
        <v>63</v>
      </c>
      <c r="B23" s="5"/>
      <c r="C23" s="1" t="s">
        <v>30</v>
      </c>
      <c r="D23" s="1" t="s">
        <v>31</v>
      </c>
      <c r="E23" s="1" t="s">
        <v>22</v>
      </c>
      <c r="F23" s="4" t="s">
        <v>27</v>
      </c>
      <c r="G23" s="4" t="s">
        <v>18</v>
      </c>
    </row>
    <row r="24">
      <c r="A24" s="1" t="s">
        <v>64</v>
      </c>
      <c r="B24" s="1" t="s">
        <v>65</v>
      </c>
      <c r="C24" s="1">
        <v>500.0</v>
      </c>
      <c r="D24" s="5"/>
      <c r="E24" s="1" t="s">
        <v>22</v>
      </c>
      <c r="G24" s="4" t="s">
        <v>18</v>
      </c>
    </row>
    <row r="25">
      <c r="A25" s="1" t="s">
        <v>24</v>
      </c>
      <c r="B25" s="5"/>
      <c r="C25" s="1" t="s">
        <v>66</v>
      </c>
      <c r="D25" s="5"/>
      <c r="E25" s="1" t="s">
        <v>67</v>
      </c>
    </row>
    <row r="26">
      <c r="A26" s="1" t="s">
        <v>68</v>
      </c>
      <c r="B26" s="5"/>
      <c r="C26" s="5"/>
      <c r="D26" s="5"/>
      <c r="E26" s="1" t="s">
        <v>67</v>
      </c>
      <c r="F26" s="4" t="s">
        <v>69</v>
      </c>
      <c r="G26" s="4" t="s">
        <v>18</v>
      </c>
    </row>
    <row r="27">
      <c r="A27" s="1" t="s">
        <v>70</v>
      </c>
      <c r="B27" s="5"/>
      <c r="C27" s="1"/>
      <c r="D27" s="1"/>
      <c r="E27" s="1" t="s">
        <v>17</v>
      </c>
      <c r="F27" s="4" t="s">
        <v>69</v>
      </c>
      <c r="G27" s="4" t="s">
        <v>18</v>
      </c>
    </row>
    <row r="28">
      <c r="A28" s="1" t="s">
        <v>58</v>
      </c>
      <c r="B28" s="5"/>
      <c r="C28" s="1" t="s">
        <v>71</v>
      </c>
      <c r="D28" s="1" t="s">
        <v>43</v>
      </c>
      <c r="E28" s="1" t="s">
        <v>67</v>
      </c>
      <c r="F28" s="4" t="s">
        <v>27</v>
      </c>
      <c r="G28" s="4" t="s">
        <v>18</v>
      </c>
    </row>
    <row r="29">
      <c r="A29" s="1" t="s">
        <v>72</v>
      </c>
      <c r="B29" s="5"/>
      <c r="C29" s="1" t="s">
        <v>73</v>
      </c>
      <c r="D29" s="5"/>
      <c r="E29" s="1" t="s">
        <v>67</v>
      </c>
      <c r="F29" s="4" t="s">
        <v>74</v>
      </c>
      <c r="G29" s="4" t="s">
        <v>18</v>
      </c>
    </row>
    <row r="30">
      <c r="A30" s="1" t="s">
        <v>75</v>
      </c>
      <c r="B30" s="5"/>
      <c r="C30" s="1">
        <v>3.2502258E7</v>
      </c>
      <c r="D30" s="5"/>
      <c r="E30" s="1" t="s">
        <v>67</v>
      </c>
      <c r="G30" s="4" t="s">
        <v>18</v>
      </c>
    </row>
    <row r="31">
      <c r="A31" s="1" t="s">
        <v>76</v>
      </c>
      <c r="B31" s="5"/>
      <c r="C31" s="1">
        <v>48.0</v>
      </c>
      <c r="D31" s="5"/>
      <c r="E31" s="1" t="s">
        <v>67</v>
      </c>
      <c r="G31" s="4" t="s">
        <v>18</v>
      </c>
    </row>
    <row r="32">
      <c r="A32" s="1" t="s">
        <v>77</v>
      </c>
      <c r="B32" s="5"/>
      <c r="C32" s="1">
        <v>100000.0</v>
      </c>
      <c r="D32" s="5"/>
      <c r="E32" s="1" t="s">
        <v>67</v>
      </c>
      <c r="G32" s="4" t="s">
        <v>18</v>
      </c>
    </row>
    <row r="33">
      <c r="A33" s="1" t="s">
        <v>78</v>
      </c>
      <c r="B33" s="5"/>
      <c r="C33" s="1" t="s">
        <v>79</v>
      </c>
      <c r="D33" s="5"/>
      <c r="E33" s="1" t="s">
        <v>67</v>
      </c>
      <c r="G33" s="4" t="s">
        <v>18</v>
      </c>
    </row>
    <row r="34">
      <c r="A34" s="1" t="s">
        <v>80</v>
      </c>
      <c r="B34" s="5"/>
      <c r="C34" s="1" t="s">
        <v>81</v>
      </c>
      <c r="D34" s="5"/>
      <c r="E34" s="1" t="s">
        <v>67</v>
      </c>
      <c r="G34" s="4" t="s">
        <v>18</v>
      </c>
    </row>
    <row r="35">
      <c r="A35" s="1" t="s">
        <v>45</v>
      </c>
      <c r="B35" s="5"/>
      <c r="C35" s="9">
        <v>44405.0</v>
      </c>
      <c r="D35" s="5"/>
      <c r="E35" s="1" t="s">
        <v>67</v>
      </c>
      <c r="F35" s="4" t="s">
        <v>46</v>
      </c>
      <c r="G35" s="4" t="s">
        <v>18</v>
      </c>
    </row>
    <row r="36">
      <c r="A36" s="1" t="s">
        <v>47</v>
      </c>
      <c r="B36" s="5"/>
      <c r="C36" s="9">
        <v>46489.0</v>
      </c>
      <c r="D36" s="5"/>
      <c r="E36" s="1" t="s">
        <v>67</v>
      </c>
      <c r="F36" s="4" t="s">
        <v>46</v>
      </c>
      <c r="G36" s="4" t="s">
        <v>18</v>
      </c>
    </row>
    <row r="37">
      <c r="A37" s="1" t="s">
        <v>82</v>
      </c>
      <c r="B37" s="5"/>
      <c r="C37" s="1">
        <v>531.03</v>
      </c>
      <c r="D37" s="5"/>
      <c r="E37" s="1" t="s">
        <v>67</v>
      </c>
      <c r="G37" s="4" t="s">
        <v>18</v>
      </c>
    </row>
    <row r="38">
      <c r="A38" s="1" t="s">
        <v>83</v>
      </c>
      <c r="B38" s="5"/>
      <c r="C38" s="5">
        <f>C37*12</f>
        <v>6372.36</v>
      </c>
      <c r="D38" s="5"/>
      <c r="E38" s="1" t="s">
        <v>67</v>
      </c>
      <c r="G38" s="4" t="s">
        <v>18</v>
      </c>
    </row>
    <row r="39">
      <c r="A39" s="7" t="s">
        <v>84</v>
      </c>
      <c r="B39" s="5"/>
      <c r="C39" s="1" t="s">
        <v>85</v>
      </c>
      <c r="D39" s="5"/>
      <c r="E39" s="1" t="s">
        <v>67</v>
      </c>
      <c r="G39" s="4" t="s">
        <v>18</v>
      </c>
    </row>
    <row r="40">
      <c r="A40" s="1" t="s">
        <v>86</v>
      </c>
      <c r="B40" s="5"/>
      <c r="C40" s="5"/>
      <c r="D40" s="5"/>
      <c r="E40" s="1" t="s">
        <v>87</v>
      </c>
    </row>
    <row r="41">
      <c r="A41" s="1" t="s">
        <v>88</v>
      </c>
      <c r="B41" s="5"/>
      <c r="C41" s="5"/>
      <c r="D41" s="5"/>
      <c r="E41" s="5"/>
    </row>
    <row r="42">
      <c r="A42" s="1" t="s">
        <v>89</v>
      </c>
      <c r="B42" s="1" t="s">
        <v>90</v>
      </c>
      <c r="C42" s="5"/>
      <c r="D42" s="5"/>
      <c r="E42" s="1" t="s">
        <v>17</v>
      </c>
    </row>
    <row r="43">
      <c r="A43" s="1" t="s">
        <v>91</v>
      </c>
      <c r="B43" s="1" t="s">
        <v>92</v>
      </c>
      <c r="C43" s="5"/>
      <c r="D43" s="5"/>
      <c r="E43" s="1" t="s">
        <v>17</v>
      </c>
    </row>
    <row r="44">
      <c r="A44" s="1" t="s">
        <v>93</v>
      </c>
      <c r="B44" s="5"/>
      <c r="C44" s="5"/>
      <c r="D44" s="5"/>
      <c r="E44" s="5"/>
    </row>
    <row r="45">
      <c r="A45" s="1" t="s">
        <v>94</v>
      </c>
      <c r="B45" s="5"/>
      <c r="C45" s="5"/>
      <c r="D45" s="1" t="s">
        <v>43</v>
      </c>
      <c r="E45" s="5"/>
    </row>
    <row r="46">
      <c r="A46" s="1" t="s">
        <v>84</v>
      </c>
      <c r="B46" s="5"/>
      <c r="C46" s="1" t="s">
        <v>95</v>
      </c>
      <c r="D46" s="5"/>
      <c r="E46" s="5"/>
    </row>
    <row r="47">
      <c r="A47" s="10" t="s">
        <v>3</v>
      </c>
      <c r="B47" s="5"/>
      <c r="C47" s="5"/>
      <c r="D47" s="5"/>
      <c r="E47" s="5"/>
    </row>
    <row r="48">
      <c r="A48" s="1" t="s">
        <v>96</v>
      </c>
      <c r="B48" s="5"/>
      <c r="C48" s="5"/>
      <c r="D48" s="5"/>
      <c r="E48" s="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13"/>
  </cols>
  <sheetData>
    <row r="1">
      <c r="A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10</v>
      </c>
    </row>
    <row r="9">
      <c r="A9" s="1" t="s">
        <v>12</v>
      </c>
    </row>
    <row r="10">
      <c r="A10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3.88"/>
    <col customWidth="1" min="3" max="3" width="22.25"/>
    <col customWidth="1" min="4" max="4" width="3.75"/>
    <col customWidth="1" min="6" max="6" width="4.13"/>
    <col customWidth="1" min="7" max="7" width="15.88"/>
    <col customWidth="1" min="8" max="8" width="3.5"/>
    <col customWidth="1" min="9" max="9" width="17.63"/>
    <col customWidth="1" min="10" max="10" width="3.75"/>
    <col customWidth="1" min="11" max="11" width="17.63"/>
    <col customWidth="1" min="12" max="12" width="3.88"/>
    <col customWidth="1" min="13" max="13" width="18.13"/>
    <col customWidth="1" min="14" max="14" width="3.75"/>
    <col customWidth="1" min="15" max="15" width="19.63"/>
  </cols>
  <sheetData>
    <row r="1" ht="22.5" customHeight="1">
      <c r="A1" s="11" t="s">
        <v>97</v>
      </c>
      <c r="B1" s="4"/>
      <c r="C1" s="11" t="s">
        <v>98</v>
      </c>
      <c r="D1" s="4"/>
      <c r="E1" s="11" t="s">
        <v>58</v>
      </c>
      <c r="F1" s="4"/>
      <c r="G1" s="11" t="s">
        <v>94</v>
      </c>
      <c r="H1" s="4"/>
      <c r="I1" s="11" t="s">
        <v>51</v>
      </c>
      <c r="K1" s="11" t="s">
        <v>49</v>
      </c>
      <c r="M1" s="11" t="s">
        <v>55</v>
      </c>
      <c r="O1" s="11" t="s">
        <v>57</v>
      </c>
    </row>
    <row r="2" ht="22.5" customHeight="1">
      <c r="A2" s="12" t="s">
        <v>99</v>
      </c>
      <c r="B2" s="4"/>
      <c r="C2" s="12" t="s">
        <v>100</v>
      </c>
      <c r="D2" s="4"/>
      <c r="E2" s="12" t="s">
        <v>101</v>
      </c>
      <c r="F2" s="4"/>
      <c r="G2" s="12" t="s">
        <v>2</v>
      </c>
      <c r="H2" s="4"/>
      <c r="I2" s="12" t="s">
        <v>52</v>
      </c>
      <c r="K2" s="13" t="s">
        <v>50</v>
      </c>
      <c r="M2" s="12" t="s">
        <v>102</v>
      </c>
      <c r="O2" s="12" t="s">
        <v>103</v>
      </c>
    </row>
    <row r="3" ht="22.5" customHeight="1">
      <c r="A3" s="12" t="s">
        <v>104</v>
      </c>
      <c r="B3" s="4"/>
      <c r="C3" s="12" t="s">
        <v>105</v>
      </c>
      <c r="D3" s="4"/>
      <c r="E3" s="12" t="s">
        <v>106</v>
      </c>
      <c r="F3" s="4"/>
      <c r="G3" s="12" t="s">
        <v>7</v>
      </c>
      <c r="H3" s="4"/>
      <c r="I3" s="12" t="s">
        <v>107</v>
      </c>
      <c r="K3" s="12" t="s">
        <v>108</v>
      </c>
      <c r="M3" s="12" t="s">
        <v>56</v>
      </c>
      <c r="O3" s="12" t="s">
        <v>58</v>
      </c>
    </row>
    <row r="4" ht="22.5" customHeight="1">
      <c r="A4" s="12" t="s">
        <v>109</v>
      </c>
      <c r="B4" s="4"/>
      <c r="C4" s="12" t="s">
        <v>110</v>
      </c>
      <c r="D4" s="4"/>
      <c r="E4" s="12" t="s">
        <v>111</v>
      </c>
      <c r="F4" s="4"/>
      <c r="G4" s="12" t="s">
        <v>112</v>
      </c>
      <c r="H4" s="4"/>
      <c r="I4" s="12" t="s">
        <v>113</v>
      </c>
      <c r="M4" s="12" t="s">
        <v>114</v>
      </c>
    </row>
    <row r="5" ht="22.5" customHeight="1">
      <c r="A5" s="12" t="s">
        <v>115</v>
      </c>
      <c r="B5" s="4"/>
      <c r="C5" s="12" t="s">
        <v>54</v>
      </c>
      <c r="F5" s="4"/>
      <c r="G5" s="12" t="s">
        <v>116</v>
      </c>
      <c r="H5" s="4"/>
      <c r="I5" s="12" t="s">
        <v>117</v>
      </c>
    </row>
    <row r="6" ht="22.5" customHeight="1">
      <c r="A6" s="12" t="s">
        <v>118</v>
      </c>
      <c r="B6" s="4"/>
      <c r="C6" s="12" t="s">
        <v>119</v>
      </c>
      <c r="F6" s="4"/>
      <c r="G6" s="12" t="s">
        <v>120</v>
      </c>
    </row>
    <row r="7" ht="22.5" customHeight="1">
      <c r="A7" s="12" t="s">
        <v>121</v>
      </c>
      <c r="B7" s="4"/>
      <c r="C7" s="12" t="s">
        <v>122</v>
      </c>
      <c r="F7" s="4"/>
      <c r="G7" s="12" t="s">
        <v>84</v>
      </c>
    </row>
    <row r="8" ht="22.5" customHeight="1">
      <c r="A8" s="12" t="s">
        <v>123</v>
      </c>
      <c r="B8" s="4"/>
      <c r="C8" s="12" t="s">
        <v>124</v>
      </c>
      <c r="G8" s="14" t="s">
        <v>125</v>
      </c>
    </row>
    <row r="9" ht="22.5" customHeight="1">
      <c r="A9" s="12" t="s">
        <v>126</v>
      </c>
      <c r="B9" s="4"/>
      <c r="C9" s="12" t="s">
        <v>127</v>
      </c>
      <c r="G9" s="14" t="s">
        <v>128</v>
      </c>
    </row>
    <row r="10" ht="22.5" customHeight="1">
      <c r="A10" s="12" t="s">
        <v>129</v>
      </c>
      <c r="B10" s="4"/>
      <c r="C10" s="12" t="s">
        <v>130</v>
      </c>
      <c r="G10" s="14" t="s">
        <v>131</v>
      </c>
    </row>
    <row r="11" ht="22.5" customHeight="1">
      <c r="A11" s="12" t="s">
        <v>132</v>
      </c>
      <c r="G11" s="14" t="s">
        <v>133</v>
      </c>
    </row>
    <row r="12" ht="22.5" customHeight="1">
      <c r="A12" s="12" t="s">
        <v>134</v>
      </c>
      <c r="G12" s="14" t="s">
        <v>135</v>
      </c>
    </row>
    <row r="13" ht="22.5" customHeight="1">
      <c r="A13" s="12" t="s">
        <v>136</v>
      </c>
      <c r="G13" s="14" t="s">
        <v>137</v>
      </c>
    </row>
    <row r="14" ht="22.5" customHeight="1">
      <c r="A14" s="12" t="s">
        <v>138</v>
      </c>
      <c r="G14" s="14" t="s">
        <v>139</v>
      </c>
    </row>
    <row r="15" ht="22.5" customHeight="1">
      <c r="A15" s="12" t="s">
        <v>140</v>
      </c>
      <c r="G15" s="14" t="s">
        <v>10</v>
      </c>
    </row>
    <row r="16" ht="22.5" customHeight="1">
      <c r="A16" s="12" t="s">
        <v>141</v>
      </c>
      <c r="G16" s="14" t="s">
        <v>142</v>
      </c>
    </row>
    <row r="17" ht="22.5" customHeight="1">
      <c r="A17" s="12" t="s">
        <v>143</v>
      </c>
      <c r="G17" s="14" t="s">
        <v>144</v>
      </c>
    </row>
    <row r="18" ht="22.5" customHeight="1">
      <c r="A18" s="12" t="s">
        <v>145</v>
      </c>
      <c r="G18" s="14" t="s">
        <v>146</v>
      </c>
    </row>
    <row r="19" ht="22.5" customHeight="1">
      <c r="A19" s="12" t="s">
        <v>147</v>
      </c>
      <c r="G19" s="14" t="s">
        <v>148</v>
      </c>
    </row>
    <row r="20" ht="22.5" customHeight="1">
      <c r="A20" s="12" t="s">
        <v>149</v>
      </c>
    </row>
    <row r="21" ht="22.5" customHeight="1">
      <c r="A21" s="12" t="s">
        <v>150</v>
      </c>
    </row>
    <row r="22" ht="22.5" customHeight="1">
      <c r="A22" s="12" t="s">
        <v>151</v>
      </c>
    </row>
    <row r="23" ht="22.5" customHeight="1">
      <c r="A23" s="12" t="s">
        <v>152</v>
      </c>
    </row>
    <row r="24" ht="22.5" customHeight="1">
      <c r="A24" s="12" t="s">
        <v>153</v>
      </c>
    </row>
    <row r="25" ht="22.5" customHeight="1">
      <c r="A25" s="12" t="s">
        <v>154</v>
      </c>
    </row>
    <row r="26" ht="22.5" customHeight="1">
      <c r="A26" s="12" t="s">
        <v>155</v>
      </c>
    </row>
    <row r="27" ht="22.5" customHeight="1">
      <c r="A27" s="12" t="s">
        <v>156</v>
      </c>
    </row>
    <row r="28" ht="22.5" customHeight="1">
      <c r="A28" s="12" t="s">
        <v>157</v>
      </c>
    </row>
    <row r="29" ht="22.5" customHeight="1">
      <c r="A29" s="12" t="s">
        <v>158</v>
      </c>
    </row>
    <row r="30" ht="22.5" customHeight="1">
      <c r="A30" s="12" t="s">
        <v>159</v>
      </c>
    </row>
    <row r="31" ht="22.5" customHeight="1">
      <c r="A31" s="12" t="s">
        <v>160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